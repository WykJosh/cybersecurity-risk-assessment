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20b2e613f629c947/Desktop/CV 2026/cybersecurity-risk-assessment/"/>
    </mc:Choice>
  </mc:AlternateContent>
  <xr:revisionPtr revIDLastSave="403" documentId="8_{AE3EB90E-AF0E-4850-9932-0A4465CE142B}" xr6:coauthVersionLast="47" xr6:coauthVersionMax="47" xr10:uidLastSave="{28BE1F1E-B597-4A31-A60F-A6E46807DDD5}"/>
  <bookViews>
    <workbookView xWindow="10030" yWindow="-21600" windowWidth="19380" windowHeight="20970" xr2:uid="{EBBA8EB5-91D4-4287-B857-E6133575E431}"/>
  </bookViews>
  <sheets>
    <sheet name="Risk Register" sheetId="1" r:id="rId1"/>
    <sheet name="Scoring Methodolog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2" i="1" l="1"/>
  <c r="P3" i="1"/>
  <c r="P4" i="1"/>
  <c r="P5" i="1"/>
  <c r="P6" i="1"/>
  <c r="P7" i="1"/>
  <c r="P8" i="1"/>
  <c r="P9" i="1"/>
  <c r="O2" i="1"/>
  <c r="O3" i="1"/>
  <c r="O4" i="1"/>
  <c r="O5" i="1"/>
  <c r="O6" i="1"/>
  <c r="O7" i="1"/>
  <c r="O8" i="1"/>
  <c r="O9" i="1"/>
  <c r="H3" i="1"/>
  <c r="I3" i="1" s="1"/>
  <c r="H4" i="1"/>
  <c r="I4" i="1" s="1"/>
  <c r="H5" i="1"/>
  <c r="I5" i="1" s="1"/>
  <c r="H6" i="1"/>
  <c r="I6" i="1" s="1"/>
  <c r="H7" i="1"/>
  <c r="I7" i="1" s="1"/>
  <c r="H8" i="1"/>
  <c r="I8" i="1" s="1"/>
  <c r="H9" i="1"/>
  <c r="I9" i="1" s="1"/>
  <c r="H2" i="1"/>
  <c r="I2" i="1" s="1"/>
</calcChain>
</file>

<file path=xl/sharedStrings.xml><?xml version="1.0" encoding="utf-8"?>
<sst xmlns="http://schemas.openxmlformats.org/spreadsheetml/2006/main" count="119" uniqueCount="99">
  <si>
    <t>Risk ID</t>
  </si>
  <si>
    <t>Risk Title</t>
  </si>
  <si>
    <t>Asset / Process</t>
  </si>
  <si>
    <t>Risk Description</t>
  </si>
  <si>
    <t>Business Impact</t>
  </si>
  <si>
    <t>Likelihood (1-5)</t>
  </si>
  <si>
    <t>Impact (1-5)</t>
  </si>
  <si>
    <t>Inherent Risk Score</t>
  </si>
  <si>
    <t>Risk Level</t>
  </si>
  <si>
    <t>R-001</t>
  </si>
  <si>
    <t>R-002</t>
  </si>
  <si>
    <t>R-003</t>
  </si>
  <si>
    <t>R-004</t>
  </si>
  <si>
    <t>R-005</t>
  </si>
  <si>
    <t>R-006</t>
  </si>
  <si>
    <t>R-007</t>
  </si>
  <si>
    <t>R-008</t>
  </si>
  <si>
    <t>Phishing and Account Compromise</t>
  </si>
  <si>
    <t>Ransomware</t>
  </si>
  <si>
    <t>Customer Data Breach</t>
  </si>
  <si>
    <t>Cloud Storage Exposure</t>
  </si>
  <si>
    <t>E-commerce Service Disruption</t>
  </si>
  <si>
    <t>Unpatched Systems</t>
  </si>
  <si>
    <t>Third-party Security Incident</t>
  </si>
  <si>
    <t>Unauthorised Access</t>
  </si>
  <si>
    <t>Microsoft 365 employee accounts</t>
  </si>
  <si>
    <t>Employee devices and business files</t>
  </si>
  <si>
    <t>Customer database</t>
  </si>
  <si>
    <t>Business documents stored in cloud</t>
  </si>
  <si>
    <t>E-commerce platform and online sales operations</t>
  </si>
  <si>
    <t>Company IT infrastructure, including employee devices and servers</t>
  </si>
  <si>
    <t>Third-party service providers and dependent business operations</t>
  </si>
  <si>
    <t>Employee and administrator accounts, internal business systems</t>
  </si>
  <si>
    <t>An employee may fall victim to a phishing attack and disclose their login credentials. If additional authentication controls are absent or bypassed, an attacker could gain unauthorised access to company emails and documents</t>
  </si>
  <si>
    <t>An employee device could become infected with ransomware through a malicious email attachment, compromised software or unauthorised access. This could result in the encryption or theft of sensitive company data, preventing employees from accessing critical business information</t>
  </si>
  <si>
    <t>A malicious actor could gain unauthorised access to the customer database through compromised administrator credentials or vulnerabilities in the e-commerce platform, potentially resulting in the theft or exposure of sensitive customer information</t>
  </si>
  <si>
    <t>Misconfigured access permissions or compromised employee credentials could allow unauthorised individuals to access sensitive company documents stored in the cloud</t>
  </si>
  <si>
    <t>A Distributed Denial-of-Service (DDoS) attack or exploitation of vulnerabilities in the e-commerce platform could make the company's website unavailable, preventing customers from accessing the online store or completing purchases</t>
  </si>
  <si>
    <t>Failure to apply security patches and software updates in a timely manner could leave company systems vulnerable to known security flaws. Attackers could exploit these vulnerabilities to gain unauthorised access, deploy malware or compromise business systems</t>
  </si>
  <si>
    <t>A cybersecurity incident affecting a third-party service provider, such as the company's payment processor or cloud hosting provider, could disrupt services or expose information shared with that provider</t>
  </si>
  <si>
    <t>Inadequate access controls, excessive user permissions or failure to revoke access when employees leave the organisation could allow unauthorised individuals to access sensitive systems and business information</t>
  </si>
  <si>
    <t>Exposure of sensitive business information, potential personal data breaches, disruption to internal communications and reputational damage</t>
  </si>
  <si>
    <t>Ransomware could disrupt daily business operations, cause financial losses through downtime and recovery costs, and potentially result in permanent data loss. If personal data is exposed, the company could also face regulatory consequences and reputational damage</t>
  </si>
  <si>
    <t>Exposure of customer information could result in reputational damage, loss of customer trust, financial costs associated with breach investigation and potential regulatory consequences under GDPR</t>
  </si>
  <si>
    <t>Exposure of confidential business information could result in financial losses, reputational damage and the disclosure of sensitive commercial information. If personal data is exposed, the organisation could also face regulatory consequences under GDPR</t>
  </si>
  <si>
    <t>Extended website downtime could result in lost revenue, interrupted order processing and increased recovery costs. Prolonged disruption could also damage customer trust and negatively affect the company's reputation</t>
  </si>
  <si>
    <t>Exploitation of unpatched systems could result in operational disruption, financial losses, data breaches and increased incident recovery costs. Depending on the systems affected, the organisation could also experience reputational damage and regulatory consequences</t>
  </si>
  <si>
    <t>A third-party incident could prevent customers from completing purchases, interrupt business operations and cause financial losses. If customer information is compromised, the organisation could also experience reputational damage and potential regulatory consequences</t>
  </si>
  <si>
    <t>Unauthorised access could result in the theft, modification or deletion of sensitive information, disruption to business operations and financial losses. Exposure of personal data could also lead to regulatory consequences under GDPR and damage the organisation's reputation</t>
  </si>
  <si>
    <t>Score</t>
  </si>
  <si>
    <t>Likelihood</t>
  </si>
  <si>
    <t>Impact</t>
  </si>
  <si>
    <t>Rare</t>
  </si>
  <si>
    <t>Unlikely</t>
  </si>
  <si>
    <t>Possible</t>
  </si>
  <si>
    <t>Likely</t>
  </si>
  <si>
    <t>Almost Certain</t>
  </si>
  <si>
    <t>Risk Score: Likelihood X Impact</t>
  </si>
  <si>
    <t>Risk: Classification: Low (1-5), Medium (6-14), High (15-25)</t>
  </si>
  <si>
    <t>Assessment assumptions: Scores are provisional estimates based on a fictional business environment. Existing security control effectiveness has not been verified. Scores should be reviewed when further information becomes available.</t>
  </si>
  <si>
    <t>Risk Classification</t>
  </si>
  <si>
    <t>Risk Score</t>
  </si>
  <si>
    <t>Classification</t>
  </si>
  <si>
    <t>Meaning</t>
  </si>
  <si>
    <t>1-5</t>
  </si>
  <si>
    <t>6-14</t>
  </si>
  <si>
    <t>15-25</t>
  </si>
  <si>
    <t>Insignificant - Minimal business impact</t>
  </si>
  <si>
    <t>Moderate - Noticeable disruption or financial loss</t>
  </si>
  <si>
    <t>Major - Significant disruption, financial loss or data exposure</t>
  </si>
  <si>
    <t>Severe - Critical or business-threatening consequences</t>
  </si>
  <si>
    <t>Minor - Limited, recoverable disruption</t>
  </si>
  <si>
    <t>Low</t>
  </si>
  <si>
    <t>Medium</t>
  </si>
  <si>
    <t>High</t>
  </si>
  <si>
    <t>Requires review and consideration of treatment</t>
  </si>
  <si>
    <t>Priority risk requiring management attention and treatment consideration</t>
  </si>
  <si>
    <t>Scoring Methodology</t>
  </si>
  <si>
    <t>Low-priority; routine monitoring</t>
  </si>
  <si>
    <t>Risk Treatment</t>
  </si>
  <si>
    <t xml:space="preserve">Recommended Controls </t>
  </si>
  <si>
    <t>Risk Owner</t>
  </si>
  <si>
    <t>Residual Likelihood</t>
  </si>
  <si>
    <t>Residual Impact</t>
  </si>
  <si>
    <t>Residual Risk Score</t>
  </si>
  <si>
    <t>Mitigate</t>
  </si>
  <si>
    <t>Enforce MFA, implement email filtering and conduct phishing awareness training.</t>
  </si>
  <si>
    <t>Implement endpoint protection, maintain offline or immutable backups and test recovery procedures.</t>
  </si>
  <si>
    <t>Implement least-privilege access, encrypt sensitive data and regularly assess application vulnerabilities.</t>
  </si>
  <si>
    <t>Review cloud access permissions, enforce MFA and monitor unauthorised access attempts.</t>
  </si>
  <si>
    <t>Implement DDoS protection, web application firewall (WAF) and website availability monitoring.</t>
  </si>
  <si>
    <t>Establish patch management procedures, perform vulnerability scanning and prioritise critical updates.</t>
  </si>
  <si>
    <t>Conduct supplier security assessments, establish security requirements in contracts and review provider incident procedures.</t>
  </si>
  <si>
    <t>Apply role-based access control (RBAC), conduct periodic access reviews and promptly revoke leavers' access.</t>
  </si>
  <si>
    <t>IT Manager</t>
  </si>
  <si>
    <t>Operations Manager</t>
  </si>
  <si>
    <t>Residual Risk Level</t>
  </si>
  <si>
    <t>Treatment Status</t>
  </si>
  <si>
    <t>Proposed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</si>
</sst>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quot;#,##0;[Red]\-&quot;R&quot;#,##0"/>
  </numFmts>
  <fonts count="8">
    <font>
      <sz val="11"/>
      <color theme="1"/>
      <name val="Aptos Narrow"/>
      <family val="2"/>
      <scheme val="minor"/>
    </font>
    <font>
      <sz val="8"/>
      <name val="Aptos Narrow"/>
      <family val="2"/>
      <scheme val="minor"/>
    </font>
    <font>
      <b/>
      <sz val="15"/>
      <color theme="3"/>
      <name val="Aptos Narrow"/>
      <family val="2"/>
      <scheme val="minor"/>
    </font>
    <font>
      <sz val="16"/>
      <color theme="1"/>
      <name val="Aptos Narrow"/>
      <family val="2"/>
      <scheme val="minor"/>
    </font>
    <font>
      <sz val="16"/>
      <color theme="1"/>
      <name val="Arial Unicode MS"/>
    </font>
    <font>
      <sz val="12"/>
      <color theme="1"/>
      <name val="Aptos Narrow"/>
      <family val="2"/>
      <scheme val="minor"/>
    </font>
    <font>
      <b/>
      <sz val="12"/>
      <color theme="1"/>
      <name val="Aptos Narrow"/>
      <family val="2"/>
      <scheme val="minor"/>
    </font>
    <font>
      <b/>
      <sz val="15"/>
      <color theme="0"/>
      <name val="Aptos Narrow"/>
      <family val="2"/>
      <scheme val="minor"/>
    </font>
  </fonts>
  <fills count="3">
    <fill>
      <patternFill patternType="none"/>
    </fill>
    <fill>
      <patternFill patternType="gray125"/>
    </fill>
    <fill>
      <patternFill patternType="solid">
        <fgColor theme="4"/>
      </patternFill>
    </fill>
  </fills>
  <borders count="2">
    <border>
      <left/>
      <right/>
      <top/>
      <bottom/>
      <diagonal/>
    </border>
    <border>
      <left/>
      <right/>
      <top/>
      <bottom style="thick">
        <color theme="4"/>
      </bottom>
      <diagonal/>
    </border>
  </borders>
  <cellStyleXfs count="2">
    <xf numFmtId="0" fontId="0" fillId="0" borderId="0"/>
    <xf numFmtId="0" fontId="2" fillId="0" borderId="1" applyNumberFormat="0" applyFill="0" applyAlignment="0" applyProtection="0"/>
  </cellStyleXfs>
  <cellXfs count="17">
    <xf numFmtId="0" fontId="0" fillId="0" borderId="0" xfId="0"/>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wrapText="1"/>
    </xf>
    <xf numFmtId="6" fontId="0" fillId="0" borderId="0" xfId="0" quotePrefix="1" applyNumberFormat="1" applyAlignment="1">
      <alignment horizontal="left" vertical="center" wrapText="1"/>
    </xf>
    <xf numFmtId="0" fontId="0" fillId="0" borderId="0" xfId="0" quotePrefix="1" applyAlignment="1">
      <alignment horizontal="left" vertical="center" wrapText="1"/>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xf numFmtId="0" fontId="6" fillId="0" borderId="0" xfId="0" applyFont="1" applyAlignment="1">
      <alignment horizontal="center" vertical="center"/>
    </xf>
    <xf numFmtId="49" fontId="0" fillId="0" borderId="0" xfId="0" applyNumberFormat="1" applyAlignment="1">
      <alignment horizontal="center" vertical="center"/>
    </xf>
    <xf numFmtId="0" fontId="7" fillId="2" borderId="1" xfId="1" applyFont="1" applyFill="1" applyAlignment="1">
      <alignment horizontal="center" vertical="center"/>
    </xf>
    <xf numFmtId="0" fontId="3" fillId="0" borderId="0" xfId="0" applyFont="1" applyFill="1" applyAlignment="1">
      <alignment horizontal="center" vertical="center"/>
    </xf>
    <xf numFmtId="0" fontId="5" fillId="0" borderId="0" xfId="0" applyFont="1" applyFill="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xf>
  </cellXfs>
  <cellStyles count="2">
    <cellStyle name="Heading 1" xfId="1" builtinId="16"/>
    <cellStyle name="Normal" xfId="0" builtinId="0"/>
  </cellStyles>
  <dxfs count="56">
    <dxf>
      <fill>
        <patternFill>
          <bgColor rgb="FFFFC000"/>
        </patternFill>
      </fill>
    </dxf>
    <dxf>
      <fill>
        <patternFill>
          <bgColor rgb="FFFF0000"/>
        </patternFill>
      </fill>
    </dxf>
    <dxf>
      <fill>
        <patternFill>
          <bgColor rgb="FFFFC000"/>
        </patternFill>
      </fill>
    </dxf>
    <dxf>
      <fill>
        <patternFill>
          <bgColor rgb="FFFF0000"/>
        </patternFill>
      </fill>
    </dxf>
    <dxf>
      <font>
        <color rgb="FF9C0006"/>
      </font>
      <fill>
        <patternFill>
          <bgColor rgb="FFFFC7CE"/>
        </patternFill>
      </fill>
    </dxf>
    <dxf>
      <font>
        <color rgb="FF9C5700"/>
      </font>
      <fill>
        <patternFill>
          <bgColor rgb="FFFFEB9C"/>
        </patternFill>
      </fill>
    </dxf>
    <dxf>
      <fill>
        <patternFill>
          <bgColor rgb="FFFF0000"/>
        </patternFill>
      </fill>
    </dxf>
    <dxf>
      <font>
        <color theme="1"/>
      </font>
      <fill>
        <patternFill>
          <fgColor theme="1"/>
          <bgColor theme="5"/>
        </patternFill>
      </fill>
    </dxf>
    <dxf>
      <fill>
        <patternFill>
          <bgColor rgb="FF00B050"/>
        </patternFill>
      </fill>
    </dxf>
    <dxf>
      <fill>
        <patternFill>
          <bgColor rgb="FFFFC000"/>
        </patternFill>
      </fill>
    </dxf>
    <dxf>
      <fill>
        <patternFill>
          <fgColor theme="1"/>
          <bgColor rgb="FFFF0000"/>
        </patternFill>
      </fill>
    </dxf>
    <dxf>
      <fill>
        <patternFill>
          <bgColor rgb="FFFF0000"/>
        </patternFill>
      </fill>
    </dxf>
    <dxf>
      <font>
        <color rgb="FF9C0006"/>
      </font>
      <fill>
        <patternFill>
          <bgColor rgb="FFFFC7CE"/>
        </patternFill>
      </fill>
    </dxf>
    <dxf>
      <font>
        <color rgb="FF9C5700"/>
      </font>
      <fill>
        <patternFill>
          <bgColor rgb="FFFFEB9C"/>
        </patternFill>
      </fill>
    </dxf>
    <dxf>
      <fill>
        <patternFill>
          <bgColor rgb="FFFF0000"/>
        </patternFill>
      </fill>
    </dxf>
    <dxf>
      <font>
        <color theme="1"/>
      </font>
      <fill>
        <patternFill>
          <fgColor theme="1"/>
          <bgColor theme="5"/>
        </patternFill>
      </fill>
    </dxf>
    <dxf>
      <fill>
        <patternFill>
          <bgColor rgb="FF00B050"/>
        </patternFill>
      </fill>
    </dxf>
    <dxf>
      <fill>
        <patternFill>
          <bgColor rgb="FFFFC000"/>
        </patternFill>
      </fill>
    </dxf>
    <dxf>
      <fill>
        <patternFill>
          <fgColor theme="1"/>
          <bgColor rgb="FFFF0000"/>
        </patternFill>
      </fill>
    </dxf>
    <dxf>
      <fill>
        <patternFill>
          <bgColor rgb="FFFF0000"/>
        </patternFill>
      </fill>
    </dxf>
    <dxf>
      <font>
        <color rgb="FF9C0006"/>
      </font>
      <fill>
        <patternFill>
          <bgColor rgb="FFFFC7CE"/>
        </patternFill>
      </fill>
    </dxf>
    <dxf>
      <font>
        <color rgb="FF9C5700"/>
      </font>
      <fill>
        <patternFill>
          <bgColor rgb="FFFFEB9C"/>
        </patternFill>
      </fill>
    </dxf>
    <dxf>
      <fill>
        <patternFill>
          <bgColor rgb="FFFF0000"/>
        </patternFill>
      </fill>
    </dxf>
    <dxf>
      <font>
        <color theme="1"/>
      </font>
      <fill>
        <patternFill>
          <fgColor theme="1"/>
          <bgColor theme="5"/>
        </patternFill>
      </fill>
    </dxf>
    <dxf>
      <fill>
        <patternFill>
          <bgColor rgb="FF00B050"/>
        </patternFill>
      </fill>
    </dxf>
    <dxf>
      <fill>
        <patternFill>
          <bgColor rgb="FFFFC000"/>
        </patternFill>
      </fill>
    </dxf>
    <dxf>
      <fill>
        <patternFill>
          <fgColor theme="1"/>
          <bgColor rgb="FFFF0000"/>
        </patternFill>
      </fill>
    </dxf>
    <dxf>
      <font>
        <strike val="0"/>
        <outline val="0"/>
        <shadow val="0"/>
        <u val="none"/>
        <vertAlign val="baseline"/>
        <sz val="16"/>
        <color theme="1"/>
        <name val="Aptos Narrow"/>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6"/>
        <color theme="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6"/>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6"/>
        <color theme="1"/>
        <name val="Arial Unicode MS"/>
        <scheme val="none"/>
      </font>
      <alignment horizontal="center" vertical="center" textRotation="0" wrapText="0" indent="0" justifyLastLine="0" shrinkToFit="0" readingOrder="0"/>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font>
        <strike val="0"/>
        <outline val="0"/>
        <shadow val="0"/>
        <u val="none"/>
        <vertAlign val="baseline"/>
        <sz val="16"/>
        <color theme="1"/>
        <name val="Aptos Narrow"/>
        <family val="2"/>
        <scheme val="minor"/>
      </font>
      <alignment horizontal="center" vertical="center" textRotation="0" wrapText="0" indent="0" justifyLastLine="0" shrinkToFit="0" readingOrder="0"/>
    </dxf>
    <dxf>
      <font>
        <strike val="0"/>
        <outline val="0"/>
        <shadow val="0"/>
        <u val="none"/>
        <vertAlign val="baseline"/>
        <sz val="16"/>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6"/>
        <color theme="1"/>
        <name val="Aptos Narrow"/>
        <family val="2"/>
        <scheme val="minor"/>
      </font>
      <alignment horizontal="center" vertical="center" textRotation="0" wrapText="0" indent="0" justifyLastLine="0" shrinkToFit="0" readingOrder="0"/>
    </dxf>
    <dxf>
      <font>
        <strike val="0"/>
        <outline val="0"/>
        <shadow val="0"/>
        <u val="none"/>
        <vertAlign val="baseline"/>
        <sz val="16"/>
        <color theme="1"/>
        <name val="Aptos Narrow"/>
        <family val="2"/>
        <scheme val="minor"/>
      </font>
      <alignment horizontal="center" vertical="center" textRotation="0" wrapText="0" indent="0" justifyLastLine="0" shrinkToFit="0" readingOrder="0"/>
    </dxf>
    <dxf>
      <font>
        <strike val="0"/>
        <outline val="0"/>
        <shadow val="0"/>
        <u val="none"/>
        <vertAlign val="baseline"/>
        <sz val="16"/>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horizontal="left" vertical="bottom"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384F5E-E8A7-40BC-854C-A577DEB55BFA}" name="Table1" displayName="Table1" ref="A1:E9" totalsRowShown="0" headerRowDxfId="50" dataDxfId="49">
  <autoFilter ref="A1:E9" xr:uid="{15384F5E-E8A7-40BC-854C-A577DEB55BFA}"/>
  <tableColumns count="5">
    <tableColumn id="1" xr3:uid="{BFE0C81B-B2C2-45D7-AA6A-80CE6AE7840A}" name="Risk ID" dataDxfId="55"/>
    <tableColumn id="2" xr3:uid="{B8DB5D62-76B1-4682-949B-AAEE0ED798D2}" name="Risk Title" dataDxfId="54"/>
    <tableColumn id="3" xr3:uid="{CE4500BC-DA5A-43A7-B4B9-32432C227A89}" name="Asset / Process" dataDxfId="53"/>
    <tableColumn id="4" xr3:uid="{D85BFC9D-CD6B-4914-8168-B821ED169F54}" name="Risk Description" dataDxfId="52"/>
    <tableColumn id="5" xr3:uid="{CBF775D7-0F92-4731-AE66-58AC4A1DC356}" name="Business Impact"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AEACF0-061E-44AB-BAE9-D8CFE13D9B10}" name="Table2" displayName="Table2" ref="F1:Q9" totalsRowShown="0" dataDxfId="48">
  <autoFilter ref="F1:Q9" xr:uid="{10AEACF0-061E-44AB-BAE9-D8CFE13D9B10}"/>
  <tableColumns count="12">
    <tableColumn id="1" xr3:uid="{007936DC-04CC-4E1E-8083-A0463440DBA8}" name="Likelihood (1-5)" dataDxfId="47"/>
    <tableColumn id="2" xr3:uid="{9F63A9A4-F17E-44D4-8756-E94005B309D0}" name="Impact (1-5)" dataDxfId="46"/>
    <tableColumn id="3" xr3:uid="{29C17480-1F98-4339-BC7E-5BD216663B8B}" name="Inherent Risk Score" dataDxfId="45">
      <calculatedColumnFormula>F2*G2</calculatedColumnFormula>
    </tableColumn>
    <tableColumn id="4" xr3:uid="{E0F626CF-16D1-4282-8455-085D142CA927}" name="Risk Level" dataDxfId="32">
      <calculatedColumnFormula>IF(H2&gt;=15,"High",IF(H2&gt;=6,"Medium","Low"))</calculatedColumnFormula>
    </tableColumn>
    <tableColumn id="5" xr3:uid="{068C0752-42A6-43EE-9CBB-29ECE791DA36}" name="Risk Treatment" dataDxfId="30"/>
    <tableColumn id="6" xr3:uid="{436BC5D1-A134-40B3-899C-923382DCC372}" name="Recommended Controls " dataDxfId="31"/>
    <tableColumn id="7" xr3:uid="{DA5EF67E-6532-46D2-9446-E276F09967C5}" name="Risk Owner" dataDxfId="33"/>
    <tableColumn id="8" xr3:uid="{6824A507-E05C-4C0F-9A69-365A4DC9A089}" name="Residual Likelihood" dataDxfId="34"/>
    <tableColumn id="9" xr3:uid="{4FAF5BD7-6E52-4B69-AF6E-A1EE6810073A}" name="Residual Impact" dataDxfId="35"/>
    <tableColumn id="10" xr3:uid="{B24A4D92-2AED-457A-865E-A64022708524}" name="Residual Risk Score" dataDxfId="29">
      <calculatedColumnFormula>M2*N2</calculatedColumnFormula>
    </tableColumn>
    <tableColumn id="11" xr3:uid="{E2C5256E-BB33-4933-98BA-33A8F46B537B}" name="Residual Risk Level" dataDxfId="27">
      <calculatedColumnFormula>IF(O2&gt;=15,"High",IF(O2&gt;=6,"Medium","Low"))</calculatedColumnFormula>
    </tableColumn>
    <tableColumn id="12" xr3:uid="{4715FD3C-BB2F-4452-890D-4372B40FBD26}" name="Treatment Status"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8BADC3-A158-4204-BCBD-5A0FA6624BFA}" name="Table3" displayName="Table3" ref="A2:C7" totalsRowShown="0" headerRowDxfId="40" dataDxfId="41">
  <autoFilter ref="A2:C7" xr:uid="{C18BADC3-A158-4204-BCBD-5A0FA6624BFA}"/>
  <tableColumns count="3">
    <tableColumn id="1" xr3:uid="{2A5F78B6-81B0-4918-805E-6583EDFCD638}" name="Score" dataDxfId="44"/>
    <tableColumn id="2" xr3:uid="{B2A642A3-EF39-4D33-AF8A-F47A18BADB3B}" name="Likelihood" dataDxfId="43"/>
    <tableColumn id="3" xr3:uid="{1E2FD152-0BDC-49C6-AFE2-1D805E8FED98}" name="Impact" dataDxfId="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F30EC8-0C9C-42BF-BF72-762797FE350B}" name="Table4" displayName="Table4" ref="A16:C19" totalsRowShown="0" headerRowDxfId="36">
  <autoFilter ref="A16:C19" xr:uid="{3BF30EC8-0C9C-42BF-BF72-762797FE350B}"/>
  <tableColumns count="3">
    <tableColumn id="1" xr3:uid="{F2C069A7-1D0A-48FA-941C-70F30A3D22CD}" name="Risk Score" dataDxfId="39"/>
    <tableColumn id="2" xr3:uid="{57684F4C-0F41-407A-9113-8CB01447E4AF}" name="Classification" dataDxfId="38"/>
    <tableColumn id="3" xr3:uid="{48CF9679-DFD5-4EEA-BAF3-680D1583E56A}" name="Meaning" dataDxfId="3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61D4-BD23-4D06-9C32-CEE5C11E10A0}">
  <dimension ref="A1:Q9"/>
  <sheetViews>
    <sheetView tabSelected="1" zoomScale="85" zoomScaleNormal="85" workbookViewId="0">
      <selection activeCell="Q3" sqref="Q3"/>
    </sheetView>
  </sheetViews>
  <sheetFormatPr defaultRowHeight="14.5"/>
  <cols>
    <col min="1" max="1" width="12.90625" customWidth="1"/>
    <col min="2" max="2" width="28.90625" bestFit="1" customWidth="1"/>
    <col min="3" max="3" width="31.36328125" customWidth="1"/>
    <col min="4" max="4" width="38.1796875" customWidth="1"/>
    <col min="5" max="5" width="35.54296875" customWidth="1"/>
    <col min="6" max="6" width="17" bestFit="1" customWidth="1"/>
    <col min="7" max="7" width="13.81640625" bestFit="1" customWidth="1"/>
    <col min="8" max="8" width="20" bestFit="1" customWidth="1"/>
    <col min="9" max="9" width="12.08984375" bestFit="1" customWidth="1"/>
    <col min="10" max="10" width="16.26953125" bestFit="1" customWidth="1"/>
    <col min="11" max="11" width="24.54296875" bestFit="1" customWidth="1"/>
    <col min="12" max="12" width="13.1796875" bestFit="1" customWidth="1"/>
    <col min="13" max="13" width="20.26953125" bestFit="1" customWidth="1"/>
    <col min="14" max="14" width="17.1796875" bestFit="1" customWidth="1"/>
    <col min="15" max="15" width="20.1796875" bestFit="1" customWidth="1"/>
    <col min="16" max="16" width="19.90625" bestFit="1" customWidth="1"/>
    <col min="17" max="17" width="18.08984375" bestFit="1" customWidth="1"/>
  </cols>
  <sheetData>
    <row r="1" spans="1:17">
      <c r="A1" s="3" t="s">
        <v>0</v>
      </c>
      <c r="B1" s="3" t="s">
        <v>1</v>
      </c>
      <c r="C1" s="3" t="s">
        <v>2</v>
      </c>
      <c r="D1" s="3" t="s">
        <v>3</v>
      </c>
      <c r="E1" s="3" t="s">
        <v>4</v>
      </c>
      <c r="F1" t="s">
        <v>5</v>
      </c>
      <c r="G1" t="s">
        <v>6</v>
      </c>
      <c r="H1" t="s">
        <v>7</v>
      </c>
      <c r="I1" t="s">
        <v>8</v>
      </c>
      <c r="J1" t="s">
        <v>79</v>
      </c>
      <c r="K1" t="s">
        <v>80</v>
      </c>
      <c r="L1" t="s">
        <v>81</v>
      </c>
      <c r="M1" t="s">
        <v>82</v>
      </c>
      <c r="N1" t="s">
        <v>83</v>
      </c>
      <c r="O1" t="s">
        <v>84</v>
      </c>
      <c r="P1" t="s">
        <v>96</v>
      </c>
      <c r="Q1" t="s">
        <v>97</v>
      </c>
    </row>
    <row r="2" spans="1:17" ht="87">
      <c r="A2" s="4" t="s">
        <v>9</v>
      </c>
      <c r="B2" s="1" t="s">
        <v>17</v>
      </c>
      <c r="C2" s="1" t="s">
        <v>25</v>
      </c>
      <c r="D2" s="1" t="s">
        <v>33</v>
      </c>
      <c r="E2" s="1" t="s">
        <v>41</v>
      </c>
      <c r="F2" s="7">
        <v>4</v>
      </c>
      <c r="G2" s="7">
        <v>4</v>
      </c>
      <c r="H2" s="7">
        <f>F2*G2</f>
        <v>16</v>
      </c>
      <c r="I2" s="8" t="str">
        <f>IF(H2&gt;=15,"High",IF(H2&gt;=6,"Medium","Low"))</f>
        <v>High</v>
      </c>
      <c r="J2" s="16" t="s">
        <v>85</v>
      </c>
      <c r="K2" s="15" t="s">
        <v>86</v>
      </c>
      <c r="L2" s="16" t="s">
        <v>94</v>
      </c>
      <c r="M2" s="7">
        <v>2</v>
      </c>
      <c r="N2" s="7">
        <v>4</v>
      </c>
      <c r="O2" s="7">
        <f t="shared" ref="O2:O9" si="0">M2*N2</f>
        <v>8</v>
      </c>
      <c r="P2" s="7" t="str">
        <f t="shared" ref="P2:P9" si="1">IF(O2&gt;=15,"High",IF(O2&gt;=6,"Medium","Low"))</f>
        <v>Medium</v>
      </c>
      <c r="Q2" s="6" t="s">
        <v>98</v>
      </c>
    </row>
    <row r="3" spans="1:17" ht="101.5">
      <c r="A3" s="5" t="s">
        <v>10</v>
      </c>
      <c r="B3" s="1" t="s">
        <v>18</v>
      </c>
      <c r="C3" s="1" t="s">
        <v>26</v>
      </c>
      <c r="D3" s="1" t="s">
        <v>34</v>
      </c>
      <c r="E3" s="1" t="s">
        <v>42</v>
      </c>
      <c r="F3" s="7">
        <v>3</v>
      </c>
      <c r="G3" s="7">
        <v>5</v>
      </c>
      <c r="H3" s="7">
        <f t="shared" ref="H3:H9" si="2">F3*G3</f>
        <v>15</v>
      </c>
      <c r="I3" s="8" t="str">
        <f t="shared" ref="I3:I9" si="3">IF(H3&gt;=15,"High",IF(H3&gt;=6,"Medium","Low"))</f>
        <v>High</v>
      </c>
      <c r="J3" s="16" t="s">
        <v>85</v>
      </c>
      <c r="K3" s="15" t="s">
        <v>87</v>
      </c>
      <c r="L3" s="16" t="s">
        <v>94</v>
      </c>
      <c r="M3" s="7">
        <v>2</v>
      </c>
      <c r="N3" s="7">
        <v>5</v>
      </c>
      <c r="O3" s="7">
        <f t="shared" si="0"/>
        <v>10</v>
      </c>
      <c r="P3" s="7" t="str">
        <f t="shared" si="1"/>
        <v>Medium</v>
      </c>
      <c r="Q3" s="6" t="s">
        <v>98</v>
      </c>
    </row>
    <row r="4" spans="1:17" ht="87">
      <c r="A4" s="5" t="s">
        <v>11</v>
      </c>
      <c r="B4" s="1" t="s">
        <v>19</v>
      </c>
      <c r="C4" s="1" t="s">
        <v>27</v>
      </c>
      <c r="D4" s="1" t="s">
        <v>35</v>
      </c>
      <c r="E4" s="2" t="s">
        <v>43</v>
      </c>
      <c r="F4" s="7">
        <v>3</v>
      </c>
      <c r="G4" s="7">
        <v>5</v>
      </c>
      <c r="H4" s="7">
        <f t="shared" si="2"/>
        <v>15</v>
      </c>
      <c r="I4" s="8" t="str">
        <f t="shared" si="3"/>
        <v>High</v>
      </c>
      <c r="J4" s="16" t="s">
        <v>85</v>
      </c>
      <c r="K4" s="15" t="s">
        <v>88</v>
      </c>
      <c r="L4" s="16" t="s">
        <v>94</v>
      </c>
      <c r="M4" s="7">
        <v>2</v>
      </c>
      <c r="N4" s="7">
        <v>5</v>
      </c>
      <c r="O4" s="7">
        <f t="shared" si="0"/>
        <v>10</v>
      </c>
      <c r="P4" s="7" t="str">
        <f t="shared" si="1"/>
        <v>Medium</v>
      </c>
      <c r="Q4" s="6" t="s">
        <v>98</v>
      </c>
    </row>
    <row r="5" spans="1:17" ht="101.5">
      <c r="A5" s="5" t="s">
        <v>12</v>
      </c>
      <c r="B5" s="1" t="s">
        <v>20</v>
      </c>
      <c r="C5" s="1" t="s">
        <v>28</v>
      </c>
      <c r="D5" s="1" t="s">
        <v>36</v>
      </c>
      <c r="E5" s="2" t="s">
        <v>44</v>
      </c>
      <c r="F5" s="7">
        <v>3</v>
      </c>
      <c r="G5" s="7">
        <v>4</v>
      </c>
      <c r="H5" s="7">
        <f t="shared" si="2"/>
        <v>12</v>
      </c>
      <c r="I5" s="8" t="str">
        <f t="shared" si="3"/>
        <v>Medium</v>
      </c>
      <c r="J5" s="16" t="s">
        <v>85</v>
      </c>
      <c r="K5" s="15" t="s">
        <v>89</v>
      </c>
      <c r="L5" s="16" t="s">
        <v>94</v>
      </c>
      <c r="M5" s="7">
        <v>2</v>
      </c>
      <c r="N5" s="7">
        <v>4</v>
      </c>
      <c r="O5" s="7">
        <f t="shared" si="0"/>
        <v>8</v>
      </c>
      <c r="P5" s="7" t="str">
        <f t="shared" si="1"/>
        <v>Medium</v>
      </c>
      <c r="Q5" s="6" t="s">
        <v>98</v>
      </c>
    </row>
    <row r="6" spans="1:17" ht="87">
      <c r="A6" s="5" t="s">
        <v>13</v>
      </c>
      <c r="B6" s="1" t="s">
        <v>21</v>
      </c>
      <c r="C6" s="1" t="s">
        <v>29</v>
      </c>
      <c r="D6" s="1" t="s">
        <v>37</v>
      </c>
      <c r="E6" s="2" t="s">
        <v>45</v>
      </c>
      <c r="F6" s="7">
        <v>4</v>
      </c>
      <c r="G6" s="7">
        <v>4</v>
      </c>
      <c r="H6" s="7">
        <f t="shared" si="2"/>
        <v>16</v>
      </c>
      <c r="I6" s="8" t="str">
        <f t="shared" si="3"/>
        <v>High</v>
      </c>
      <c r="J6" s="16" t="s">
        <v>85</v>
      </c>
      <c r="K6" s="15" t="s">
        <v>90</v>
      </c>
      <c r="L6" s="16" t="s">
        <v>94</v>
      </c>
      <c r="M6" s="7">
        <v>2</v>
      </c>
      <c r="N6" s="7">
        <v>4</v>
      </c>
      <c r="O6" s="7">
        <f t="shared" si="0"/>
        <v>8</v>
      </c>
      <c r="P6" s="7" t="str">
        <f t="shared" si="1"/>
        <v>Medium</v>
      </c>
      <c r="Q6" s="6" t="s">
        <v>98</v>
      </c>
    </row>
    <row r="7" spans="1:17" ht="101.5">
      <c r="A7" s="5" t="s">
        <v>14</v>
      </c>
      <c r="B7" s="1" t="s">
        <v>22</v>
      </c>
      <c r="C7" s="1" t="s">
        <v>30</v>
      </c>
      <c r="D7" s="1" t="s">
        <v>38</v>
      </c>
      <c r="E7" s="2" t="s">
        <v>46</v>
      </c>
      <c r="F7" s="7">
        <v>4</v>
      </c>
      <c r="G7" s="7">
        <v>4</v>
      </c>
      <c r="H7" s="7">
        <f t="shared" si="2"/>
        <v>16</v>
      </c>
      <c r="I7" s="8" t="str">
        <f t="shared" si="3"/>
        <v>High</v>
      </c>
      <c r="J7" s="16" t="s">
        <v>85</v>
      </c>
      <c r="K7" s="15" t="s">
        <v>91</v>
      </c>
      <c r="L7" s="16" t="s">
        <v>94</v>
      </c>
      <c r="M7" s="7">
        <v>2</v>
      </c>
      <c r="N7" s="7">
        <v>4</v>
      </c>
      <c r="O7" s="7">
        <f t="shared" si="0"/>
        <v>8</v>
      </c>
      <c r="P7" s="7" t="str">
        <f t="shared" si="1"/>
        <v>Medium</v>
      </c>
      <c r="Q7" s="6" t="s">
        <v>98</v>
      </c>
    </row>
    <row r="8" spans="1:17" ht="101.5">
      <c r="A8" s="5" t="s">
        <v>15</v>
      </c>
      <c r="B8" s="1" t="s">
        <v>23</v>
      </c>
      <c r="C8" s="1" t="s">
        <v>31</v>
      </c>
      <c r="D8" s="1" t="s">
        <v>39</v>
      </c>
      <c r="E8" s="2" t="s">
        <v>47</v>
      </c>
      <c r="F8" s="7">
        <v>3</v>
      </c>
      <c r="G8" s="7">
        <v>4</v>
      </c>
      <c r="H8" s="7">
        <f t="shared" si="2"/>
        <v>12</v>
      </c>
      <c r="I8" s="8" t="str">
        <f t="shared" si="3"/>
        <v>Medium</v>
      </c>
      <c r="J8" s="16" t="s">
        <v>85</v>
      </c>
      <c r="K8" s="15" t="s">
        <v>92</v>
      </c>
      <c r="L8" s="16" t="s">
        <v>95</v>
      </c>
      <c r="M8" s="7">
        <v>2</v>
      </c>
      <c r="N8" s="7">
        <v>4</v>
      </c>
      <c r="O8" s="7">
        <f t="shared" si="0"/>
        <v>8</v>
      </c>
      <c r="P8" s="7" t="str">
        <f t="shared" si="1"/>
        <v>Medium</v>
      </c>
      <c r="Q8" s="6" t="s">
        <v>98</v>
      </c>
    </row>
    <row r="9" spans="1:17" ht="101.5">
      <c r="A9" s="5" t="s">
        <v>16</v>
      </c>
      <c r="B9" s="1" t="s">
        <v>24</v>
      </c>
      <c r="C9" s="1" t="s">
        <v>32</v>
      </c>
      <c r="D9" s="1" t="s">
        <v>40</v>
      </c>
      <c r="E9" s="1" t="s">
        <v>48</v>
      </c>
      <c r="F9" s="7">
        <v>3</v>
      </c>
      <c r="G9" s="7">
        <v>4</v>
      </c>
      <c r="H9" s="7">
        <f t="shared" si="2"/>
        <v>12</v>
      </c>
      <c r="I9" s="8" t="str">
        <f t="shared" si="3"/>
        <v>Medium</v>
      </c>
      <c r="J9" s="16" t="s">
        <v>85</v>
      </c>
      <c r="K9" s="15" t="s">
        <v>93</v>
      </c>
      <c r="L9" s="16" t="s">
        <v>94</v>
      </c>
      <c r="M9" s="7">
        <v>2</v>
      </c>
      <c r="N9" s="7">
        <v>4</v>
      </c>
      <c r="O9" s="7">
        <f t="shared" si="0"/>
        <v>8</v>
      </c>
      <c r="P9" s="7" t="str">
        <f t="shared" si="1"/>
        <v>Medium</v>
      </c>
      <c r="Q9" s="6" t="s">
        <v>98</v>
      </c>
    </row>
  </sheetData>
  <phoneticPr fontId="1" type="noConversion"/>
  <conditionalFormatting sqref="I2:I9">
    <cfRule type="containsText" dxfId="18" priority="3" operator="containsText" text="High">
      <formula>NOT(ISERROR(SEARCH("High",I2)))</formula>
    </cfRule>
    <cfRule type="containsText" dxfId="17" priority="4" operator="containsText" text="Medium">
      <formula>NOT(ISERROR(SEARCH("Medium",I2)))</formula>
    </cfRule>
    <cfRule type="containsText" dxfId="16" priority="5" operator="containsText" text="Low">
      <formula>NOT(ISERROR(SEARCH("Low",I2)))</formula>
    </cfRule>
    <cfRule type="containsText" dxfId="15" priority="6" operator="containsText" text="Medium">
      <formula>NOT(ISERROR(SEARCH("Medium",I2)))</formula>
    </cfRule>
    <cfRule type="containsText" dxfId="14" priority="7" operator="containsText" text="High">
      <formula>NOT(ISERROR(SEARCH("High",I2)))</formula>
    </cfRule>
    <cfRule type="containsText" dxfId="13" priority="8" operator="containsText" text="Medium">
      <formula>NOT(ISERROR(SEARCH("Medium",I2)))</formula>
    </cfRule>
    <cfRule type="containsText" dxfId="12" priority="9" operator="containsText" text="High">
      <formula>NOT(ISERROR(SEARCH("High",I2)))</formula>
    </cfRule>
    <cfRule type="containsText" dxfId="11" priority="10" operator="containsText" text="High">
      <formula>NOT(ISERROR(SEARCH("High",I2)))</formula>
    </cfRule>
  </conditionalFormatting>
  <conditionalFormatting sqref="P2:P9">
    <cfRule type="containsText" dxfId="0" priority="2" operator="containsText" text="Medium">
      <formula>NOT(ISERROR(SEARCH("Medium",P2)))</formula>
    </cfRule>
    <cfRule type="containsText" dxfId="1" priority="1" operator="containsText" text="High">
      <formula>NOT(ISERROR(SEARCH("High",P2)))</formula>
    </cfRule>
  </conditionalFormatting>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9C58-EEE9-4518-921E-3861A69087A8}">
  <dimension ref="A1:E19"/>
  <sheetViews>
    <sheetView workbookViewId="0">
      <selection activeCell="C29" sqref="C29"/>
    </sheetView>
  </sheetViews>
  <sheetFormatPr defaultRowHeight="14.5"/>
  <cols>
    <col min="1" max="1" width="14.81640625" bestFit="1" customWidth="1"/>
    <col min="2" max="2" width="18" bestFit="1" customWidth="1"/>
    <col min="3" max="3" width="60.36328125" bestFit="1" customWidth="1"/>
    <col min="5" max="5" width="18.1796875" customWidth="1"/>
  </cols>
  <sheetData>
    <row r="1" spans="1:5" ht="20" thickBot="1">
      <c r="A1" s="12" t="s">
        <v>77</v>
      </c>
      <c r="B1" s="12"/>
      <c r="C1" s="12"/>
    </row>
    <row r="2" spans="1:5" ht="16.5" thickTop="1">
      <c r="A2" s="10" t="s">
        <v>49</v>
      </c>
      <c r="B2" s="10" t="s">
        <v>50</v>
      </c>
      <c r="C2" s="10" t="s">
        <v>51</v>
      </c>
    </row>
    <row r="3" spans="1:5">
      <c r="A3" s="6">
        <v>1</v>
      </c>
      <c r="B3" s="6" t="s">
        <v>52</v>
      </c>
      <c r="C3" s="6" t="s">
        <v>67</v>
      </c>
    </row>
    <row r="4" spans="1:5">
      <c r="A4" s="6">
        <v>2</v>
      </c>
      <c r="B4" s="6" t="s">
        <v>53</v>
      </c>
      <c r="C4" s="6" t="s">
        <v>71</v>
      </c>
    </row>
    <row r="5" spans="1:5">
      <c r="A5" s="6">
        <v>3</v>
      </c>
      <c r="B5" s="6" t="s">
        <v>54</v>
      </c>
      <c r="C5" s="6" t="s">
        <v>68</v>
      </c>
    </row>
    <row r="6" spans="1:5">
      <c r="A6" s="6">
        <v>4</v>
      </c>
      <c r="B6" s="6" t="s">
        <v>55</v>
      </c>
      <c r="C6" s="6" t="s">
        <v>69</v>
      </c>
    </row>
    <row r="7" spans="1:5">
      <c r="A7" s="6">
        <v>5</v>
      </c>
      <c r="B7" s="6" t="s">
        <v>56</v>
      </c>
      <c r="C7" s="6" t="s">
        <v>70</v>
      </c>
    </row>
    <row r="8" spans="1:5">
      <c r="A8" s="6"/>
      <c r="B8" s="6"/>
      <c r="C8" s="6"/>
    </row>
    <row r="9" spans="1:5">
      <c r="A9" s="6"/>
      <c r="B9" s="6"/>
      <c r="C9" s="6"/>
    </row>
    <row r="10" spans="1:5" ht="21">
      <c r="A10" s="13" t="s">
        <v>57</v>
      </c>
      <c r="B10" s="13"/>
      <c r="C10" s="13"/>
    </row>
    <row r="11" spans="1:5" ht="21">
      <c r="A11" s="13" t="s">
        <v>58</v>
      </c>
      <c r="B11" s="13"/>
      <c r="C11" s="13"/>
      <c r="D11" s="9"/>
      <c r="E11" s="9"/>
    </row>
    <row r="12" spans="1:5" ht="67" customHeight="1">
      <c r="A12" s="14" t="s">
        <v>59</v>
      </c>
      <c r="B12" s="14"/>
      <c r="C12" s="14"/>
      <c r="D12" s="3"/>
      <c r="E12" s="3"/>
    </row>
    <row r="13" spans="1:5">
      <c r="A13" s="6"/>
      <c r="B13" s="6"/>
      <c r="C13" s="6"/>
    </row>
    <row r="14" spans="1:5">
      <c r="A14" s="6"/>
      <c r="B14" s="6"/>
      <c r="C14" s="6"/>
    </row>
    <row r="15" spans="1:5" ht="20" thickBot="1">
      <c r="A15" s="12" t="s">
        <v>60</v>
      </c>
      <c r="B15" s="12"/>
      <c r="C15" s="12"/>
    </row>
    <row r="16" spans="1:5" ht="16.5" thickTop="1">
      <c r="A16" s="10" t="s">
        <v>61</v>
      </c>
      <c r="B16" s="10" t="s">
        <v>62</v>
      </c>
      <c r="C16" s="10" t="s">
        <v>63</v>
      </c>
    </row>
    <row r="17" spans="1:3">
      <c r="A17" s="11" t="s">
        <v>64</v>
      </c>
      <c r="B17" s="6" t="s">
        <v>72</v>
      </c>
      <c r="C17" s="6" t="s">
        <v>78</v>
      </c>
    </row>
    <row r="18" spans="1:3">
      <c r="A18" s="11" t="s">
        <v>65</v>
      </c>
      <c r="B18" s="6" t="s">
        <v>73</v>
      </c>
      <c r="C18" s="6" t="s">
        <v>75</v>
      </c>
    </row>
    <row r="19" spans="1:3">
      <c r="A19" s="11" t="s">
        <v>66</v>
      </c>
      <c r="B19" s="6" t="s">
        <v>74</v>
      </c>
      <c r="C19" s="6" t="s">
        <v>76</v>
      </c>
    </row>
  </sheetData>
  <mergeCells count="5">
    <mergeCell ref="A15:C15"/>
    <mergeCell ref="A1:C1"/>
    <mergeCell ref="A10:C10"/>
    <mergeCell ref="A11:C11"/>
    <mergeCell ref="A12:C12"/>
  </mergeCells>
  <phoneticPr fontId="1"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Scoring 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Van Wyk</dc:creator>
  <cp:lastModifiedBy>Josh Van Wyk</cp:lastModifiedBy>
  <dcterms:created xsi:type="dcterms:W3CDTF">2026-10-19T12:52:17Z</dcterms:created>
  <dcterms:modified xsi:type="dcterms:W3CDTF">2026-10-20T18:15:14Z</dcterms:modified>
</cp:coreProperties>
</file>